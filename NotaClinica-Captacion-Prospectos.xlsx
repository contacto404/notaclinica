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spectos" sheetId="1" state="visible" r:id="rId1"/>
    <sheet xmlns:r="http://schemas.openxmlformats.org/officeDocument/2006/relationships" name="Embudo" sheetId="2" state="visible" r:id="rId2"/>
    <sheet xmlns:r="http://schemas.openxmlformats.org/officeDocument/2006/relationships" name="Clínicas (verificadas)" sheetId="3" state="visible" r:id="rId3"/>
    <sheet xmlns:r="http://schemas.openxmlformats.org/officeDocument/2006/relationships" name="Canales y guion" sheetId="4" state="visible" r:id="rId4"/>
  </sheets>
  <definedNames>
    <definedName name="_xlnm._FilterDatabase" localSheetId="2" hidden="1">'Clínicas (verificadas)'!$A$1:$J$14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b val="1"/>
      <color rgb="00FFFFFF"/>
    </font>
    <font>
      <name val="Arial"/>
      <sz val="10"/>
    </font>
    <font>
      <name val="Arial"/>
      <b val="1"/>
      <color rgb="000A0A0A"/>
      <sz val="11"/>
    </font>
    <font>
      <name val="Arial"/>
      <color rgb="000A0A0A"/>
      <sz val="11"/>
    </font>
  </fonts>
  <fills count="4">
    <fill>
      <patternFill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8" min="1" max="1"/>
    <col width="16" customWidth="1" style="8" min="2" max="2"/>
    <col width="26" customWidth="1" style="8" min="3" max="3"/>
    <col width="18" customWidth="1" style="8" min="4" max="4"/>
    <col width="16" customWidth="1" style="8" min="5" max="6"/>
    <col width="24" customWidth="1" style="8" min="7" max="7"/>
    <col width="16" customWidth="1" style="8" min="8" max="9"/>
    <col width="30" customWidth="1" style="8" min="10" max="10"/>
  </cols>
  <sheetData>
    <row r="1" ht="30" customHeight="1" s="9">
      <c r="A1" s="10" t="inlineStr">
        <is>
          <t>Nombre</t>
        </is>
      </c>
      <c r="B1" s="10" t="inlineStr">
        <is>
          <t>Especialidad</t>
        </is>
      </c>
      <c r="C1" s="10" t="inlineStr">
        <is>
          <t>Contacto (tel / IG / email)</t>
        </is>
      </c>
      <c r="D1" s="10" t="inlineStr">
        <is>
          <t>Canal</t>
        </is>
      </c>
      <c r="E1" s="10" t="inlineStr">
        <is>
          <t>Fecha 1er contacto</t>
        </is>
      </c>
      <c r="F1" s="10" t="inlineStr">
        <is>
          <t>Estado</t>
        </is>
      </c>
      <c r="G1" s="10" t="inlineStr">
        <is>
          <t>Próxima acción</t>
        </is>
      </c>
      <c r="H1" s="10" t="inlineStr">
        <is>
          <t>Fecha próx. acción</t>
        </is>
      </c>
      <c r="I1" s="10" t="inlineStr">
        <is>
          <t>Referido por</t>
        </is>
      </c>
      <c r="J1" s="10" t="inlineStr">
        <is>
          <t>Notas</t>
        </is>
      </c>
    </row>
    <row r="2" ht="15" customHeight="1" s="9">
      <c r="A2" s="11" t="inlineStr">
        <is>
          <t>María González</t>
        </is>
      </c>
      <c r="B2" s="11" t="inlineStr">
        <is>
          <t>Psicología</t>
        </is>
      </c>
      <c r="C2" s="11" t="inlineStr">
        <is>
          <t>@maria.psi (IG)</t>
        </is>
      </c>
      <c r="D2" s="11" t="inlineStr">
        <is>
          <t>Instagram</t>
        </is>
      </c>
      <c r="E2" s="11" t="n"/>
      <c r="F2" s="11" t="inlineStr">
        <is>
          <t>Demo agendada</t>
        </is>
      </c>
      <c r="G2" s="11" t="inlineStr">
        <is>
          <t>Hacer demo de 5 min</t>
        </is>
      </c>
      <c r="H2" s="11" t="n"/>
      <c r="I2" s="11" t="n"/>
      <c r="J2" s="11" t="inlineStr">
        <is>
          <t>Atiende particular + obra social</t>
        </is>
      </c>
    </row>
    <row r="3" ht="26.85" customHeight="1" s="9">
      <c r="A3" s="11" t="inlineStr">
        <is>
          <t>Juan Pérez</t>
        </is>
      </c>
      <c r="B3" s="11" t="inlineStr">
        <is>
          <t>Psiquiatría</t>
        </is>
      </c>
      <c r="C3" s="11" t="inlineStr">
        <is>
          <t>099 123 456</t>
        </is>
      </c>
      <c r="D3" s="11" t="inlineStr">
        <is>
          <t>Red caliente</t>
        </is>
      </c>
      <c r="E3" s="11" t="n"/>
      <c r="F3" s="11" t="inlineStr">
        <is>
          <t>Onboardeado</t>
        </is>
      </c>
      <c r="G3" s="11" t="inlineStr">
        <is>
          <t>Cargar 1er paciente</t>
        </is>
      </c>
      <c r="H3" s="11" t="n"/>
      <c r="I3" s="11" t="inlineStr">
        <is>
          <t>Colega de la facu</t>
        </is>
      </c>
      <c r="J3" s="11" t="n"/>
    </row>
    <row r="4" ht="15" customHeight="1" s="9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15" customHeight="1" s="9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 ht="15" customHeight="1" s="9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 ht="15" customHeight="1" s="9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15" customHeight="1" s="9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15" customHeight="1" s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15" customHeight="1" s="9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 ht="15" customHeight="1" s="9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 ht="15" customHeight="1" s="9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 ht="15" customHeight="1" s="9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 ht="15" customHeight="1" s="9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" customHeight="1" s="9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 ht="15" customHeight="1" s="9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 ht="15" customHeight="1" s="9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15" customHeight="1" s="9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 ht="15" customHeight="1" s="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15" customHeight="1" s="9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15" customHeight="1" s="9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15" customHeight="1" s="9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 ht="15" customHeight="1" s="9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 ht="15" customHeight="1" s="9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 ht="15" customHeight="1" s="9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 ht="15" customHeight="1" s="9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 ht="15" customHeight="1" s="9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15" customHeight="1" s="9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15" customHeight="1" s="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 ht="15" customHeight="1" s="9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 ht="15" customHeight="1" s="9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 ht="15" customHeight="1" s="9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15" customHeight="1" s="9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 ht="15" customHeight="1" s="9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 ht="15" customHeight="1" s="9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15" customHeight="1" s="9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 ht="15" customHeight="1" s="9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 ht="15" customHeight="1" s="9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 ht="15" customHeight="1" s="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 ht="15" customHeight="1" s="9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 ht="15" customHeight="1" s="9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 ht="15" customHeight="1" s="9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 ht="15" customHeight="1" s="9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</sheetData>
  <dataValidations count="2">
    <dataValidation sqref="F2:F500" showDropDown="0" showInputMessage="0" showErrorMessage="0" allowBlank="1" type="list" errorStyle="stop" operator="between">
      <formula1>"Por contactar,Contactado,Respondió,Demo agendada,Onboardeado,Usando activo,Paga,Descartado"</formula1>
      <formula2>0</formula2>
    </dataValidation>
    <dataValidation sqref="D2:D500" showDropDown="0" showInputMessage="0" showErrorMessage="0" allowBlank="1" type="list" errorStyle="stop" operator="between">
      <formula1>"Red caliente,Instagram,WhatsApp,Grupo,Consultorio/coworking,Referido,Contenido,Otro"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8" min="1" max="1"/>
    <col width="12" customWidth="1" style="8" min="2" max="2"/>
    <col width="16" customWidth="1" style="8" min="3" max="3"/>
  </cols>
  <sheetData>
    <row r="1" ht="17.35" customHeight="1" s="9">
      <c r="A1" s="12" t="inlineStr">
        <is>
          <t>Embudo de captación — NotaClínica</t>
        </is>
      </c>
    </row>
    <row r="3" ht="15" customHeight="1" s="9">
      <c r="A3" s="13" t="inlineStr">
        <is>
          <t>Etapa</t>
        </is>
      </c>
      <c r="B3" s="13" t="inlineStr">
        <is>
          <t>Cantidad</t>
        </is>
      </c>
      <c r="C3" s="13" t="inlineStr">
        <is>
          <t>Meta 6 semanas</t>
        </is>
      </c>
    </row>
    <row r="4" ht="15" customHeight="1" s="9">
      <c r="A4" s="14" t="inlineStr">
        <is>
          <t>Prospectos cargados</t>
        </is>
      </c>
      <c r="B4" s="14">
        <f>COUNTA(Prospectos!A2:A500)</f>
        <v/>
      </c>
      <c r="C4" s="14" t="n">
        <v>80</v>
      </c>
    </row>
    <row r="5" ht="15" customHeight="1" s="9">
      <c r="A5" s="14" t="inlineStr">
        <is>
          <t>Contactados</t>
        </is>
      </c>
      <c r="B5" s="14">
        <f>COUNTIF(Prospectos!F2:F500,"Contactado")+COUNTIF(Prospectos!F2:F500,"Respondió")+COUNTIF(Prospectos!F2:F500,"Demo agendada")+COUNTIF(Prospectos!F2:F500,"Onboardeado")+COUNTIF(Prospectos!F2:F500,"Usando activo")+COUNTIF(Prospectos!F2:F500,"Paga")</f>
        <v/>
      </c>
      <c r="C5" s="14" t="n">
        <v>60</v>
      </c>
    </row>
    <row r="6" ht="15" customHeight="1" s="9">
      <c r="A6" s="14" t="inlineStr">
        <is>
          <t>Demos agendadas</t>
        </is>
      </c>
      <c r="B6" s="14">
        <f>COUNTIF(Prospectos!F2:F500,"Demo agendada")</f>
        <v/>
      </c>
      <c r="C6" s="14" t="n">
        <v>25</v>
      </c>
    </row>
    <row r="7" ht="15" customHeight="1" s="9">
      <c r="A7" s="14" t="inlineStr">
        <is>
          <t>Onboardeados</t>
        </is>
      </c>
      <c r="B7" s="14">
        <f>COUNTIF(Prospectos!F2:F500,"Onboardeado")+COUNTIF(Prospectos!F2:F500,"Usando activo")+COUNTIF(Prospectos!F2:F500,"Paga")</f>
        <v/>
      </c>
      <c r="C7" s="14" t="n">
        <v>20</v>
      </c>
    </row>
    <row r="8" ht="15" customHeight="1" s="9">
      <c r="A8" s="14" t="inlineStr">
        <is>
          <t>Usando activo</t>
        </is>
      </c>
      <c r="B8" s="14">
        <f>COUNTIF(Prospectos!F2:F500,"Usando activo")+COUNTIF(Prospectos!F2:F500,"Paga")</f>
        <v/>
      </c>
      <c r="C8" s="14" t="n">
        <v>10</v>
      </c>
    </row>
    <row r="9" ht="15" customHeight="1" s="9">
      <c r="A9" s="14" t="inlineStr">
        <is>
          <t>Pagan</t>
        </is>
      </c>
      <c r="B9" s="14">
        <f>COUNTIF(Prospectos!F2:F500,"Paga")</f>
        <v/>
      </c>
      <c r="C9" s="14" t="n">
        <v>8</v>
      </c>
    </row>
    <row r="10" ht="15" customHeight="1" s="9">
      <c r="A10" s="8" t="inlineStr">
        <is>
          <t>Descartados</t>
        </is>
      </c>
      <c r="B10" s="8">
        <f>COUNTIF(Prospectos!F2:F500,"Descartado")</f>
        <v/>
      </c>
    </row>
    <row r="11" ht="15" customHeight="1" s="9">
      <c r="A11" s="15" t="n"/>
      <c r="B11" s="16" t="n"/>
    </row>
    <row r="12" ht="15" customHeight="1" s="9">
      <c r="A12" s="8" t="inlineStr">
        <is>
          <t>Conversión a pago (de contactados)</t>
        </is>
      </c>
      <c r="B12" s="8">
        <f>IFERROR(B9/B5,0)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9" min="1" max="1"/>
    <col width="34" customWidth="1" style="9" min="2" max="2"/>
    <col width="40" customWidth="1" style="9" min="3" max="3"/>
    <col width="22" customWidth="1" style="9" min="4" max="4"/>
    <col width="16" customWidth="1" style="9" min="5" max="5"/>
    <col width="30" customWidth="1" style="9" min="6" max="6"/>
    <col width="24" customWidth="1" style="9" min="7" max="7"/>
    <col width="10" customWidth="1" style="9" min="8" max="8"/>
    <col width="16" customWidth="1" style="9" min="9" max="9"/>
    <col width="44" customWidth="1" style="9" min="10" max="10"/>
  </cols>
  <sheetData>
    <row r="1">
      <c r="A1" s="17" t="inlineStr">
        <is>
          <t>Nombre</t>
        </is>
      </c>
      <c r="B1" s="17" t="inlineStr">
        <is>
          <t>Rubro</t>
        </is>
      </c>
      <c r="C1" s="17" t="inlineStr">
        <is>
          <t>Zona</t>
        </is>
      </c>
      <c r="D1" s="17" t="inlineStr">
        <is>
          <t>Teléfono</t>
        </is>
      </c>
      <c r="E1" s="17" t="inlineStr">
        <is>
          <t>WhatsApp</t>
        </is>
      </c>
      <c r="F1" s="17" t="inlineStr">
        <is>
          <t>Mail</t>
        </is>
      </c>
      <c r="G1" s="17" t="inlineStr">
        <is>
          <t>Web (fuente)</t>
        </is>
      </c>
      <c r="H1" s="17" t="inlineStr">
        <is>
          <t>Encaje</t>
        </is>
      </c>
      <c r="I1" s="17" t="inlineStr">
        <is>
          <t>Estado</t>
        </is>
      </c>
      <c r="J1" s="17" t="inlineStr">
        <is>
          <t>Notas</t>
        </is>
      </c>
    </row>
    <row r="2">
      <c r="A2" s="18" t="inlineStr">
        <is>
          <t>Centro Kairós</t>
        </is>
      </c>
      <c r="B2" s="18" t="inlineStr">
        <is>
          <t>Psicología / Psiquiatría</t>
        </is>
      </c>
      <c r="C2" s="18" t="inlineStr">
        <is>
          <t>Montevideo · Charrúa 2321</t>
        </is>
      </c>
      <c r="D2" s="18" t="inlineStr">
        <is>
          <t>2408 1815</t>
        </is>
      </c>
      <c r="E2" s="18" t="inlineStr">
        <is>
          <t>092 920 877</t>
        </is>
      </c>
      <c r="F2" s="18" t="inlineStr">
        <is>
          <t>consultas@centrokairos.com.uy</t>
        </is>
      </c>
      <c r="G2" s="18" t="inlineStr">
        <is>
          <t>centrokairos.com.uy</t>
        </is>
      </c>
      <c r="H2" s="18" t="inlineStr">
        <is>
          <t>Alto</t>
        </is>
      </c>
      <c r="I2" s="18" t="inlineStr">
        <is>
          <t>Por contactar</t>
        </is>
      </c>
      <c r="J2" s="18" t="inlineStr">
        <is>
          <t>Equipo interdisciplinario; presencial/online/domicilio</t>
        </is>
      </c>
    </row>
    <row r="3">
      <c r="A3" s="18" t="inlineStr">
        <is>
          <t>IPM — Inst. Psiquiatría y Psicología de Montevideo</t>
        </is>
      </c>
      <c r="B3" s="18" t="inlineStr">
        <is>
          <t>Salud mental</t>
        </is>
      </c>
      <c r="C3" s="18" t="inlineStr">
        <is>
          <t>Montevideo · Melitón González 1284</t>
        </is>
      </c>
      <c r="D3" s="18" t="inlineStr">
        <is>
          <t>2624 0448</t>
        </is>
      </c>
      <c r="E3" s="18" t="inlineStr">
        <is>
          <t>094 658 208</t>
        </is>
      </c>
      <c r="F3" s="18" t="inlineStr">
        <is>
          <t>info@ipm.com.uy</t>
        </is>
      </c>
      <c r="G3" s="18" t="inlineStr">
        <is>
          <t>ipm.com.uy</t>
        </is>
      </c>
      <c r="H3" s="18" t="inlineStr">
        <is>
          <t>Alto</t>
        </is>
      </c>
      <c r="I3" s="18" t="inlineStr">
        <is>
          <t>Por contactar</t>
        </is>
      </c>
      <c r="J3" s="18" t="inlineStr">
        <is>
          <t>~30 profesionales en salud mental</t>
        </is>
      </c>
    </row>
    <row r="4">
      <c r="A4" s="18" t="inlineStr">
        <is>
          <t>Clínica Psinco</t>
        </is>
      </c>
      <c r="B4" s="18" t="inlineStr">
        <is>
          <t>Psicología</t>
        </is>
      </c>
      <c r="C4" s="18" t="inlineStr">
        <is>
          <t>Montevideo · 26 de Marzo 3489</t>
        </is>
      </c>
      <c r="D4" s="18" t="inlineStr">
        <is>
          <t>2628 8828 / 099 129 104</t>
        </is>
      </c>
      <c r="E4" s="18" t="inlineStr"/>
      <c r="F4" s="18" t="inlineStr"/>
      <c r="G4" s="18" t="inlineStr">
        <is>
          <t>clinicapsinco.com.uy</t>
        </is>
      </c>
      <c r="H4" s="18" t="inlineStr">
        <is>
          <t>Alto</t>
        </is>
      </c>
      <c r="I4" s="18" t="inlineStr">
        <is>
          <t>Por contactar</t>
        </is>
      </c>
      <c r="J4" s="18" t="inlineStr">
        <is>
          <t>Tel de directorio — verificar en la web</t>
        </is>
      </c>
    </row>
    <row r="5">
      <c r="A5" s="18" t="inlineStr">
        <is>
          <t>Clínica Berro</t>
        </is>
      </c>
      <c r="B5" s="18" t="inlineStr">
        <is>
          <t>Odontología</t>
        </is>
      </c>
      <c r="C5" s="18" t="inlineStr">
        <is>
          <t>Montevideo · L.A. de Herrera 1379 (+ Punta del Este)</t>
        </is>
      </c>
      <c r="D5" s="18" t="inlineStr">
        <is>
          <t>2628 6600</t>
        </is>
      </c>
      <c r="E5" s="18" t="inlineStr">
        <is>
          <t>099 612 030</t>
        </is>
      </c>
      <c r="F5" s="18" t="inlineStr">
        <is>
          <t>(form web)</t>
        </is>
      </c>
      <c r="G5" s="18" t="inlineStr">
        <is>
          <t>clinicaberro.com.uy</t>
        </is>
      </c>
      <c r="H5" s="18" t="inlineStr">
        <is>
          <t>Alto</t>
        </is>
      </c>
      <c r="I5" s="18" t="inlineStr">
        <is>
          <t>Por contactar</t>
        </is>
      </c>
      <c r="J5" s="18" t="inlineStr">
        <is>
          <t>Sin email público; usar WhatsApp/formulario</t>
        </is>
      </c>
    </row>
    <row r="6">
      <c r="A6" s="18" t="inlineStr">
        <is>
          <t>BioSmile</t>
        </is>
      </c>
      <c r="B6" s="18" t="inlineStr">
        <is>
          <t>Odontología</t>
        </is>
      </c>
      <c r="C6" s="18" t="inlineStr">
        <is>
          <t>Montevideo · Carrasco · Alberdi 6595</t>
        </is>
      </c>
      <c r="D6" s="18" t="inlineStr">
        <is>
          <t>2604 0300</t>
        </is>
      </c>
      <c r="E6" s="18" t="inlineStr">
        <is>
          <t>093 937 824</t>
        </is>
      </c>
      <c r="F6" s="18" t="inlineStr">
        <is>
          <t>info@biosmile.uy</t>
        </is>
      </c>
      <c r="G6" s="18" t="inlineStr">
        <is>
          <t>biosmile.uy</t>
        </is>
      </c>
      <c r="H6" s="18" t="inlineStr">
        <is>
          <t>Alto</t>
        </is>
      </c>
      <c r="I6" s="18" t="inlineStr">
        <is>
          <t>Por contactar</t>
        </is>
      </c>
      <c r="J6" s="18" t="inlineStr"/>
    </row>
    <row r="7">
      <c r="A7" s="18" t="inlineStr">
        <is>
          <t>Dental.uy</t>
        </is>
      </c>
      <c r="B7" s="18" t="inlineStr">
        <is>
          <t>Odontología</t>
        </is>
      </c>
      <c r="C7" s="18" t="inlineStr">
        <is>
          <t>Montevideo · Av. Sarmiento 2686</t>
        </is>
      </c>
      <c r="D7" s="18" t="inlineStr">
        <is>
          <t>2710 8027</t>
        </is>
      </c>
      <c r="E7" s="18" t="inlineStr">
        <is>
          <t>092 611 613</t>
        </is>
      </c>
      <c r="F7" s="18" t="inlineStr">
        <is>
          <t>info@dental.uy</t>
        </is>
      </c>
      <c r="G7" s="18" t="inlineStr">
        <is>
          <t>dental.uy</t>
        </is>
      </c>
      <c r="H7" s="18" t="inlineStr">
        <is>
          <t>Alto</t>
        </is>
      </c>
      <c r="I7" s="18" t="inlineStr">
        <is>
          <t>Por contactar</t>
        </is>
      </c>
      <c r="J7" s="18" t="inlineStr">
        <is>
          <t>Fundada por Dra. P. García da Rosa</t>
        </is>
      </c>
    </row>
    <row r="8">
      <c r="A8" s="18" t="inlineStr">
        <is>
          <t>Clínica GRIP</t>
        </is>
      </c>
      <c r="B8" s="18" t="inlineStr">
        <is>
          <t>Fisioterapia / Nutrición / Med. deporte</t>
        </is>
      </c>
      <c r="C8" s="18" t="inlineStr">
        <is>
          <t>Montevideo · Tte. Juan Walcalde 2629</t>
        </is>
      </c>
      <c r="D8" s="18" t="inlineStr">
        <is>
          <t>097 730 823</t>
        </is>
      </c>
      <c r="E8" s="18" t="inlineStr">
        <is>
          <t>097 730 823</t>
        </is>
      </c>
      <c r="F8" s="18" t="inlineStr">
        <is>
          <t>(email en web, ofuscado)</t>
        </is>
      </c>
      <c r="G8" s="18" t="inlineStr">
        <is>
          <t>clinicagrip.com.uy</t>
        </is>
      </c>
      <c r="H8" s="18" t="inlineStr">
        <is>
          <t>Alto</t>
        </is>
      </c>
      <c r="I8" s="18" t="inlineStr">
        <is>
          <t>Por contactar</t>
        </is>
      </c>
      <c r="J8" s="18" t="inlineStr">
        <is>
          <t>Multidisciplinario; varios profesionales</t>
        </is>
      </c>
    </row>
    <row r="9">
      <c r="A9" s="18" t="inlineStr">
        <is>
          <t>Clínica FISIOMED</t>
        </is>
      </c>
      <c r="B9" s="18" t="inlineStr">
        <is>
          <t>Fisioterapia</t>
        </is>
      </c>
      <c r="C9" s="18" t="inlineStr">
        <is>
          <t>Montevideo · Pedro F. Berro 973</t>
        </is>
      </c>
      <c r="D9" s="18" t="inlineStr">
        <is>
          <t>098 690 069</t>
        </is>
      </c>
      <c r="E9" s="18" t="inlineStr">
        <is>
          <t>098 690 069</t>
        </is>
      </c>
      <c r="F9" s="18" t="inlineStr">
        <is>
          <t>contacto@fisiomed.com.uy</t>
        </is>
      </c>
      <c r="G9" s="18" t="inlineStr">
        <is>
          <t>fisiomed.com.uy</t>
        </is>
      </c>
      <c r="H9" s="18" t="inlineStr">
        <is>
          <t>Alto</t>
        </is>
      </c>
      <c r="I9" s="18" t="inlineStr">
        <is>
          <t>Por contactar</t>
        </is>
      </c>
      <c r="J9" s="18" t="inlineStr"/>
    </row>
    <row r="10">
      <c r="A10" s="18" t="inlineStr">
        <is>
          <t>Clínica Urgenterap</t>
        </is>
      </c>
      <c r="B10" s="18" t="inlineStr">
        <is>
          <t>Médica — multiespecialidad (urgencias + policlínicas)</t>
        </is>
      </c>
      <c r="C10" s="18" t="inlineStr">
        <is>
          <t>Montevideo · Carrasco · Potosí 1690</t>
        </is>
      </c>
      <c r="D10" s="18" t="inlineStr">
        <is>
          <t>2600 0806</t>
        </is>
      </c>
      <c r="E10" s="18" t="inlineStr">
        <is>
          <t>092 962 189</t>
        </is>
      </c>
      <c r="F10" s="18" t="inlineStr">
        <is>
          <t>contacto@clinicaurgenterap.com</t>
        </is>
      </c>
      <c r="G10" s="18" t="inlineStr">
        <is>
          <t>clinicaurgenterap.com</t>
        </is>
      </c>
      <c r="H10" s="18" t="inlineStr">
        <is>
          <t>Alto</t>
        </is>
      </c>
      <c r="I10" s="18" t="inlineStr">
        <is>
          <t>Por contactar</t>
        </is>
      </c>
      <c r="J10" s="18" t="inlineStr">
        <is>
          <t>80+ profesionales; todas las especialidades médicas y quirúrgicas</t>
        </is>
      </c>
    </row>
    <row r="11">
      <c r="A11" s="18" t="inlineStr">
        <is>
          <t>CME — Centro de Medicina y Especialidades</t>
        </is>
      </c>
      <c r="B11" s="18" t="inlineStr">
        <is>
          <t>Médica — multiespecialidad + laboratorio</t>
        </is>
      </c>
      <c r="C11" s="18" t="inlineStr">
        <is>
          <t>Montevideo · Acevedo Díaz 1024 esq. Br. España</t>
        </is>
      </c>
      <c r="D11" s="18" t="inlineStr">
        <is>
          <t>2402 0244</t>
        </is>
      </c>
      <c r="E11" s="18" t="inlineStr">
        <is>
          <t>091 887 331</t>
        </is>
      </c>
      <c r="F11" s="18" t="inlineStr">
        <is>
          <t>contacto@cme.com.uy</t>
        </is>
      </c>
      <c r="G11" s="18" t="inlineStr">
        <is>
          <t>cme.com.uy</t>
        </is>
      </c>
      <c r="H11" s="18" t="inlineStr">
        <is>
          <t>Alto</t>
        </is>
      </c>
      <c r="I11" s="18" t="inlineStr">
        <is>
          <t>Por contactar</t>
        </is>
      </c>
      <c r="J11" s="18" t="inlineStr">
        <is>
          <t>50 consultorios; atención sin pase ni socio</t>
        </is>
      </c>
    </row>
    <row r="12">
      <c r="A12" s="18" t="inlineStr">
        <is>
          <t>Centro Médico Carrasco</t>
        </is>
      </c>
      <c r="B12" s="18" t="inlineStr">
        <is>
          <t>Médica — multiespecialidad</t>
        </is>
      </c>
      <c r="C12" s="18" t="inlineStr">
        <is>
          <t>Montevideo · Carrasco</t>
        </is>
      </c>
      <c r="D12" s="18" t="inlineStr"/>
      <c r="E12" s="18" t="inlineStr">
        <is>
          <t>095 933 677</t>
        </is>
      </c>
      <c r="F12" s="18" t="inlineStr">
        <is>
          <t>(form web)</t>
        </is>
      </c>
      <c r="G12" s="18" t="inlineStr">
        <is>
          <t>centromedicocarrasco.com</t>
        </is>
      </c>
      <c r="H12" s="18" t="inlineStr">
        <is>
          <t>Alto</t>
        </is>
      </c>
      <c r="I12" s="18" t="inlineStr">
        <is>
          <t>Por contactar</t>
        </is>
      </c>
      <c r="J12" s="18" t="inlineStr">
        <is>
          <t>Cardio, cirugía, dermato, gineco, medicina gral, pediatría, etc.</t>
        </is>
      </c>
    </row>
    <row r="13">
      <c r="A13" s="18" t="inlineStr">
        <is>
          <t>Centro Dermatológico (Dra. V. Pomies)</t>
        </is>
      </c>
      <c r="B13" s="18" t="inlineStr">
        <is>
          <t>Médica — Dermatología</t>
        </is>
      </c>
      <c r="C13" s="18" t="inlineStr">
        <is>
          <t>Montevideo · Punta Carretas (Ellauri 357) + Carrasco (Av. Bolivia 1270)</t>
        </is>
      </c>
      <c r="D13" s="18" t="inlineStr">
        <is>
          <t>2713 9404</t>
        </is>
      </c>
      <c r="E13" s="18" t="inlineStr">
        <is>
          <t>099 683 072</t>
        </is>
      </c>
      <c r="F13" s="18" t="inlineStr">
        <is>
          <t>(form web)</t>
        </is>
      </c>
      <c r="G13" s="18" t="inlineStr">
        <is>
          <t>centro-dermatologico.com.uy</t>
        </is>
      </c>
      <c r="H13" s="18" t="inlineStr">
        <is>
          <t>Alto</t>
        </is>
      </c>
      <c r="I13" s="18" t="inlineStr">
        <is>
          <t>Por contactar</t>
        </is>
      </c>
      <c r="J13" s="18" t="inlineStr">
        <is>
          <t>Equipo de dermatólogas UDELAR; estética + clínica</t>
        </is>
      </c>
    </row>
    <row r="14">
      <c r="A14" s="18" t="inlineStr">
        <is>
          <t>Centro Médico Dra. Gladys Calabrese</t>
        </is>
      </c>
      <c r="B14" s="18" t="inlineStr">
        <is>
          <t>Médica — Dermatología</t>
        </is>
      </c>
      <c r="C14" s="18" t="inlineStr">
        <is>
          <t>Montevideo · Bvar. Gral. Artigas 1443 P9</t>
        </is>
      </c>
      <c r="D14" s="18" t="inlineStr">
        <is>
          <t>2400 5737 / 2400 1291</t>
        </is>
      </c>
      <c r="E14" s="18" t="inlineStr"/>
      <c r="F14" s="18" t="inlineStr">
        <is>
          <t>(form web)</t>
        </is>
      </c>
      <c r="G14" s="18" t="inlineStr">
        <is>
          <t>gladyscalabrese.com</t>
        </is>
      </c>
      <c r="H14" s="18" t="inlineStr">
        <is>
          <t>Medio</t>
        </is>
      </c>
      <c r="I14" s="18" t="inlineStr">
        <is>
          <t>Por contactar</t>
        </is>
      </c>
      <c r="J14" s="18" t="inlineStr">
        <is>
          <t>Dermatología correctiva y estética; 30 años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style="9" min="1" max="1"/>
  </cols>
  <sheetData>
    <row r="1">
      <c r="A1" s="19" t="inlineStr">
        <is>
          <t>CANALES LEGÍTIMOS PARA LLEGAR A PROFESIONALES INDEPENDIENTES</t>
        </is>
      </c>
    </row>
    <row r="2">
      <c r="A2" s="20" t="inlineStr">
        <is>
          <t>(contacto apropiado: contexto profesional / opt-in, no datos personales scrapeados)</t>
        </is>
      </c>
    </row>
    <row r="3">
      <c r="A3" s="20" t="inlineStr"/>
    </row>
    <row r="4">
      <c r="A4" s="20" t="inlineStr">
        <is>
          <t>• Sociedades y gremiales: Coordinadora de Psicólogos del Uruguay (CPU), Sociedad de Psicología del Uruguay (SPU),</t>
        </is>
      </c>
    </row>
    <row r="5">
      <c r="A5" s="20" t="inlineStr">
        <is>
          <t xml:space="preserve">  Sindicato Médico del Uruguay (SMU), Colegio Médico del Uruguay (CMU), Asociación Odontológica Uruguaya (AOU).</t>
        </is>
      </c>
    </row>
    <row r="6">
      <c r="A6" s="20" t="inlineStr">
        <is>
          <t xml:space="preserve">  → Auspicios, newsletters, beneficios para socios, charlas.</t>
        </is>
      </c>
    </row>
    <row r="7">
      <c r="A7" s="20" t="inlineStr">
        <is>
          <t>• Congresos y jornadas profesionales: stand / sponsor / mini-charla "documentación con IA".</t>
        </is>
      </c>
    </row>
    <row r="8">
      <c r="A8" s="20" t="inlineStr">
        <is>
          <t>• Universidades y facultades (UDELAR Psicología/Odontología/Medicina, UCU, UM): bolsa de egresados, charlas.</t>
        </is>
      </c>
    </row>
    <row r="9">
      <c r="A9" s="20" t="inlineStr">
        <is>
          <t>• Comunidades profesionales: grupos de LinkedIn y Facebook de psicólogos/médicos/odontólogos UY.</t>
        </is>
      </c>
    </row>
    <row r="10">
      <c r="A10" s="20" t="inlineStr">
        <is>
          <t>• Referidos: cada usuario fundador presenta colegas (programa de referidos).</t>
        </is>
      </c>
    </row>
    <row r="11">
      <c r="A11" s="20" t="inlineStr">
        <is>
          <t>• Inbound: contenido en Instagram/LinkedIn de NotaClínica → que ellos te escriban.</t>
        </is>
      </c>
    </row>
    <row r="12">
      <c r="A12" s="20" t="inlineStr"/>
    </row>
    <row r="13">
      <c r="A13" s="19" t="inlineStr">
        <is>
          <t>GUION — PRIMER CONTACTO (CLÍNICAS / CENTROS)</t>
        </is>
      </c>
    </row>
    <row r="14">
      <c r="A14" s="20" t="inlineStr"/>
    </row>
    <row r="15">
      <c r="A15" s="20" t="inlineStr">
        <is>
          <t>MAIL (asunto): Menos papeleo después de cada consulta — para el equipo de {Clínica}</t>
        </is>
      </c>
    </row>
    <row r="16">
      <c r="A16" s="20" t="inlineStr">
        <is>
          <t>Hola, equipo de {Clínica}:</t>
        </is>
      </c>
    </row>
    <row r="17">
      <c r="A17" s="20" t="inlineStr">
        <is>
          <t>Soy {Nombre} de NotaClínica. Ayudamos a profesionales a terminar la consulta con la nota clínica ya lista:</t>
        </is>
      </c>
    </row>
    <row r="18">
      <c r="A18" s="20" t="inlineStr">
        <is>
          <t>se graba la sesión y la IA arma el resumen en segundos. Pensé en ustedes porque tienen varios profesionales.</t>
        </is>
      </c>
    </row>
    <row r="19">
      <c r="A19" s="20" t="inlineStr">
        <is>
          <t>¿Les puedo mostrar una demo de 5 minutos esta semana? Hay 30 días gratis, sin tarjeta.</t>
        </is>
      </c>
    </row>
    <row r="20">
      <c r="A20" s="20" t="inlineStr">
        <is>
          <t>Gracias, {Nombre} — {teléfono} — notaclinica.vercel.app</t>
        </is>
      </c>
    </row>
    <row r="21">
      <c r="A21" s="20" t="inlineStr"/>
    </row>
    <row r="22">
      <c r="A22" s="20" t="inlineStr">
        <is>
          <t>WHATSAPP (corto): Hola, soy {Nombre} de NotaClínica 👋 Ayudamos a que los profesionales no escriban la historia</t>
        </is>
      </c>
    </row>
    <row r="23">
      <c r="A23" s="20" t="inlineStr">
        <is>
          <t>clínica después de cada paciente: graban la sesión y la IA arma el resumen. ¿Les muestro una demo de 5 min?</t>
        </is>
      </c>
    </row>
    <row r="24">
      <c r="A24" s="20" t="inlineStr">
        <is>
          <t>Tienen 30 días gratis sin tarjeta. ¡Gracias!</t>
        </is>
      </c>
    </row>
    <row r="25">
      <c r="A25" s="20" t="inlineStr"/>
    </row>
    <row r="26">
      <c r="A26" s="20" t="inlineStr">
        <is>
          <t>Buenas prácticas: 1 mensaje + 1 seguimiento (no insistir), siempre ofrecer baja/optar por no recibir,</t>
        </is>
      </c>
    </row>
    <row r="27">
      <c r="A27" s="20" t="inlineStr">
        <is>
          <t>usar el contacto público de la institución, y personalizar el nombre de la clínica.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2026-06-14T00:04:03Z</dcterms:created>
  <dcterms:modified xmlns:dcterms="http://purl.org/dc/terms/" xmlns:xsi="http://www.w3.org/2001/XMLSchema-instance" xsi:type="dcterms:W3CDTF">2026-06-15T23:38:01Z</dcterms:modified>
  <cp:revision>0</cp:revision>
</cp:coreProperties>
</file>